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Marcelo\Desktop\EVALUACION 1\Procesos\"/>
    </mc:Choice>
  </mc:AlternateContent>
  <xr:revisionPtr revIDLastSave="0" documentId="8_{816D6E03-761C-4B58-815C-4B41BF779135}" xr6:coauthVersionLast="47" xr6:coauthVersionMax="47" xr10:uidLastSave="{00000000-0000-0000-0000-000000000000}"/>
  <bookViews>
    <workbookView xWindow="-120" yWindow="-120" windowWidth="29040" windowHeight="15840" xr2:uid="{DD548E6D-E2C3-403E-AAFD-050471F07D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6" i="1"/>
  <c r="E7" i="1"/>
  <c r="E8" i="1"/>
  <c r="E9" i="1"/>
  <c r="E10" i="1"/>
  <c r="E11" i="1"/>
  <c r="E12" i="1"/>
  <c r="E13" i="1"/>
  <c r="E6" i="1"/>
  <c r="D7" i="1"/>
  <c r="D8" i="1"/>
  <c r="D9" i="1"/>
  <c r="D10" i="1"/>
  <c r="D11" i="1"/>
  <c r="D12" i="1"/>
  <c r="D13" i="1"/>
  <c r="D6" i="1"/>
  <c r="C12" i="1"/>
  <c r="C11" i="1"/>
  <c r="C10" i="1"/>
  <c r="C9" i="1"/>
  <c r="C8" i="1"/>
  <c r="C7" i="1"/>
  <c r="C13" i="1"/>
  <c r="C6" i="1"/>
  <c r="C5" i="1"/>
  <c r="J4" i="1"/>
</calcChain>
</file>

<file path=xl/sharedStrings.xml><?xml version="1.0" encoding="utf-8"?>
<sst xmlns="http://schemas.openxmlformats.org/spreadsheetml/2006/main" count="7" uniqueCount="7">
  <si>
    <t>Carga (KN)</t>
  </si>
  <si>
    <t>Deflexión medida (mm)</t>
  </si>
  <si>
    <t>Deflexión teórica (mm)</t>
  </si>
  <si>
    <t>Diferencia relativa (%)</t>
  </si>
  <si>
    <r>
      <t xml:space="preserve">Verificación </t>
    </r>
    <r>
      <rPr>
        <sz val="11"/>
        <color theme="1"/>
        <rFont val="Arial"/>
        <family val="2"/>
      </rPr>
      <t xml:space="preserve"> δ /P</t>
    </r>
    <r>
      <rPr>
        <sz val="11"/>
        <color theme="1"/>
        <rFont val="Aptos Narrow"/>
        <family val="2"/>
        <scheme val="minor"/>
      </rPr>
      <t xml:space="preserve"> Medida (mm/kN)</t>
    </r>
  </si>
  <si>
    <r>
      <t xml:space="preserve">Verificación </t>
    </r>
    <r>
      <rPr>
        <sz val="11"/>
        <color theme="1"/>
        <rFont val="Arial"/>
        <family val="2"/>
      </rPr>
      <t xml:space="preserve"> δ /P</t>
    </r>
    <r>
      <rPr>
        <sz val="11"/>
        <color theme="1"/>
        <rFont val="Aptos Narrow"/>
        <family val="2"/>
        <scheme val="minor"/>
      </rPr>
      <t xml:space="preserve"> Teorica (mm/kN)</t>
    </r>
  </si>
  <si>
    <t>Inercia (m^4)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</si>
</sst>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Teorica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Sheet1!$A$5:$A$13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Sheet1!$B$5:$B$13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54-4CAD-8DAC-4E4014385D04}"/>
            </c:ext>
          </c:extLst>
        </c:ser>
        <c:ser>
          <c:idx val="1"/>
          <c:order val="1"/>
          <c:tx>
            <c:v>Medida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Sheet1!$A$5:$A$13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Sheet1!$C$5:$C$13</c:f>
              <c:numCache>
                <c:formatCode>General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0.74999999999999989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1.4999999999999998</c:v>
                </c:pt>
                <c:pt idx="7">
                  <c:v>1.7499999999999998</c:v>
                </c:pt>
                <c:pt idx="8">
                  <c:v>1.9999999999999996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54-4CAD-8DAC-4E4014385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53480"/>
        <c:axId val="1206955528"/>
      </c:scatterChart>
      <c:valAx>
        <c:axId val="120695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Carga Aplicada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55528"/>
        <c:crosses val="autoZero"/>
        <c:crossBetween val="midCat"/>
      </c:valAx>
      <c:valAx>
        <c:axId val="120695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Deflexión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53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643334618137776"/>
          <c:y val="0.94828866969821368"/>
          <c:w val="0.22569021529651451"/>
          <c:h val="3.9267290541561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13</xdr:row>
      <xdr:rowOff>171450</xdr:rowOff>
    </xdr:from>
    <xdr:to>
      <xdr:col>4</xdr:col>
      <xdr:colOff>2495550</xdr:colOff>
      <xdr:row>42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013BF7-0159-1F53-2BFC-08163B896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3349-48F5-4CCC-A5F4-2B8CF9ED6EE5}">
  <dimension ref="A4:J13"/>
  <sheetViews>
    <sheetView tabSelected="1" topLeftCell="A13" workbookViewId="0">
      <selection activeCell="F41" sqref="F41"/>
    </sheetView>
  </sheetViews>
  <sheetFormatPr defaultRowHeight="15"/>
  <cols>
    <col min="1" max="1" width="10.28515625" bestFit="1" customWidth="1"/>
    <col min="2" max="2" width="22" bestFit="1" customWidth="1"/>
    <col min="3" max="3" width="21.42578125" bestFit="1" customWidth="1"/>
    <col min="4" max="4" width="20.7109375" bestFit="1" customWidth="1"/>
    <col min="5" max="5" width="37.5703125" bestFit="1" customWidth="1"/>
    <col min="6" max="6" width="32.42578125" bestFit="1" customWidth="1"/>
    <col min="8" max="8" width="12" bestFit="1" customWidth="1"/>
    <col min="9" max="9" width="12.85546875" bestFit="1" customWidth="1"/>
    <col min="10" max="10" width="12" bestFit="1" customWidth="1"/>
  </cols>
  <sheetData>
    <row r="4" spans="1:10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H4" s="1"/>
      <c r="I4" s="2" t="s">
        <v>6</v>
      </c>
      <c r="J4" s="3">
        <f>(0.2*0.4^3)/12</f>
        <v>1.0666666666666669E-3</v>
      </c>
    </row>
    <row r="5" spans="1:10">
      <c r="A5" s="5">
        <v>0</v>
      </c>
      <c r="B5" s="5">
        <v>0</v>
      </c>
      <c r="C5" s="5">
        <f>(A5*(4^3)*1000)/(((48*25*10^9)*J4)*1000)</f>
        <v>0</v>
      </c>
      <c r="D5" s="5">
        <v>0</v>
      </c>
      <c r="E5" s="5">
        <v>0</v>
      </c>
      <c r="F5" s="5">
        <v>0</v>
      </c>
    </row>
    <row r="6" spans="1:10">
      <c r="A6" s="5">
        <v>5</v>
      </c>
      <c r="B6" s="5">
        <v>0.26</v>
      </c>
      <c r="C6" s="5">
        <f>(A6*(4^3)*1000*1000)/((48*25*10^9)*J4)</f>
        <v>0.24999999999999994</v>
      </c>
      <c r="D6" s="5">
        <f>((B6/C6)-1)*100</f>
        <v>4.0000000000000258</v>
      </c>
      <c r="E6" s="5">
        <f>B6/A6</f>
        <v>5.2000000000000005E-2</v>
      </c>
      <c r="F6" s="5">
        <f>C6/A6</f>
        <v>4.9999999999999989E-2</v>
      </c>
      <c r="G6" s="1"/>
    </row>
    <row r="7" spans="1:10">
      <c r="A7" s="5">
        <v>10</v>
      </c>
      <c r="B7" s="5">
        <v>0.5</v>
      </c>
      <c r="C7" s="5">
        <f>(A7*(4^3)*1000*1000)/((48*25*10^9)*J4)</f>
        <v>0.49999999999999989</v>
      </c>
      <c r="D7" s="5">
        <f t="shared" ref="D7:D13" si="0">((B7/C7)-1)*100</f>
        <v>2.2204460492503131E-14</v>
      </c>
      <c r="E7" s="5">
        <f t="shared" ref="E7:E13" si="1">B7/A7</f>
        <v>0.05</v>
      </c>
      <c r="F7" s="5">
        <f t="shared" ref="F7:F13" si="2">C7/A7</f>
        <v>4.9999999999999989E-2</v>
      </c>
    </row>
    <row r="8" spans="1:10">
      <c r="A8" s="5">
        <v>15</v>
      </c>
      <c r="B8" s="5">
        <v>0.76</v>
      </c>
      <c r="C8" s="5">
        <f>(A8*(4^3)*1000*1000)/((48*25*10^9)*J4)</f>
        <v>0.74999999999999989</v>
      </c>
      <c r="D8" s="5">
        <f t="shared" si="0"/>
        <v>1.3333333333333419</v>
      </c>
      <c r="E8" s="5">
        <f t="shared" si="1"/>
        <v>5.0666666666666665E-2</v>
      </c>
      <c r="F8" s="5">
        <f t="shared" si="2"/>
        <v>4.9999999999999996E-2</v>
      </c>
    </row>
    <row r="9" spans="1:10">
      <c r="A9" s="5">
        <v>20</v>
      </c>
      <c r="B9" s="5">
        <v>1.01</v>
      </c>
      <c r="C9" s="5">
        <f>(A9*(4^3)*1000*1000)/((48*25*10^9)*J4)</f>
        <v>0.99999999999999978</v>
      </c>
      <c r="D9" s="5">
        <f t="shared" si="0"/>
        <v>1.0000000000000231</v>
      </c>
      <c r="E9" s="5">
        <f t="shared" si="1"/>
        <v>5.0500000000000003E-2</v>
      </c>
      <c r="F9" s="5">
        <f t="shared" si="2"/>
        <v>4.9999999999999989E-2</v>
      </c>
    </row>
    <row r="10" spans="1:10">
      <c r="A10" s="5">
        <v>25</v>
      </c>
      <c r="B10" s="5">
        <v>1.28</v>
      </c>
      <c r="C10" s="5">
        <f>(A10*(4^3)*1000*1000)/((48*25*10^9)*J4)</f>
        <v>1.2499999999999998</v>
      </c>
      <c r="D10" s="5">
        <f t="shared" si="0"/>
        <v>2.4000000000000243</v>
      </c>
      <c r="E10" s="5">
        <f t="shared" si="1"/>
        <v>5.1200000000000002E-2</v>
      </c>
      <c r="F10" s="5">
        <f t="shared" si="2"/>
        <v>4.9999999999999989E-2</v>
      </c>
    </row>
    <row r="11" spans="1:10">
      <c r="A11" s="5">
        <v>30</v>
      </c>
      <c r="B11" s="5">
        <v>1.54</v>
      </c>
      <c r="C11" s="5">
        <f>(A11*(4^3)*1000*1000)/((48*25*10^9)*J4)</f>
        <v>1.4999999999999998</v>
      </c>
      <c r="D11" s="5">
        <f t="shared" si="0"/>
        <v>2.6666666666666838</v>
      </c>
      <c r="E11" s="5">
        <f t="shared" si="1"/>
        <v>5.1333333333333335E-2</v>
      </c>
      <c r="F11" s="5">
        <f t="shared" si="2"/>
        <v>4.9999999999999996E-2</v>
      </c>
    </row>
    <row r="12" spans="1:10">
      <c r="A12" s="5">
        <v>35</v>
      </c>
      <c r="B12" s="5">
        <v>1.77</v>
      </c>
      <c r="C12" s="5">
        <f>(A12*(4^3)*1000*1000)/((48*25*10^9)*J4)</f>
        <v>1.7499999999999998</v>
      </c>
      <c r="D12" s="5">
        <f t="shared" si="0"/>
        <v>1.1428571428571566</v>
      </c>
      <c r="E12" s="5">
        <f t="shared" si="1"/>
        <v>5.0571428571428573E-2</v>
      </c>
      <c r="F12" s="5">
        <f t="shared" si="2"/>
        <v>4.9999999999999996E-2</v>
      </c>
    </row>
    <row r="13" spans="1:10">
      <c r="A13" s="5">
        <v>40</v>
      </c>
      <c r="B13" s="5">
        <v>2.0499999999999998</v>
      </c>
      <c r="C13" s="5">
        <f>(A13*(4^3)*1000)*1000/((48*25*10^9)*J4)</f>
        <v>1.9999999999999996</v>
      </c>
      <c r="D13" s="5">
        <f t="shared" si="0"/>
        <v>2.5000000000000133</v>
      </c>
      <c r="E13" s="5">
        <f t="shared" si="1"/>
        <v>5.1249999999999997E-2</v>
      </c>
      <c r="F13" s="5">
        <f t="shared" si="2"/>
        <v>4.9999999999999989E-2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Muñoz</dc:creator>
  <cp:keywords/>
  <dc:description/>
  <cp:lastModifiedBy/>
  <cp:revision/>
  <dcterms:created xsi:type="dcterms:W3CDTF">2026-10-04T01:16:42Z</dcterms:created>
  <dcterms:modified xsi:type="dcterms:W3CDTF">2026-10-04T02:16:17Z</dcterms:modified>
  <cp:category/>
  <cp:contentStatus/>
</cp:coreProperties>
</file>